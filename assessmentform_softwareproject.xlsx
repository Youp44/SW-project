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Youpk\Desktop\Toegepaste wiskunde\Jaar 3\Minor Cryptografie en Quantum mechanica\SW project\"/>
    </mc:Choice>
  </mc:AlternateContent>
  <xr:revisionPtr revIDLastSave="0" documentId="8_{F8EEE3BC-D9AB-4C4B-8372-9A34F783D7A0}" xr6:coauthVersionLast="47" xr6:coauthVersionMax="47" xr10:uidLastSave="{00000000-0000-0000-0000-000000000000}"/>
  <bookViews>
    <workbookView xWindow="-110" yWindow="-110" windowWidth="25820" windowHeight="13900" xr2:uid="{00000000-000D-0000-FFFF-FFFF00000000}"/>
  </bookViews>
  <sheets>
    <sheet name="Sheet1" sheetId="1" r:id="rId1"/>
    <sheet name="Sheet2" sheetId="2" r:id="rId2"/>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1" l="1"/>
  <c r="J11" i="1"/>
  <c r="J6" i="1"/>
  <c r="D9" i="1"/>
  <c r="J16" i="1" l="1"/>
  <c r="J18" i="1" s="1"/>
  <c r="D7" i="1"/>
  <c r="F8" i="2" l="1"/>
  <c r="F7" i="2"/>
  <c r="D14" i="1"/>
  <c r="D13" i="1"/>
  <c r="D12" i="1"/>
  <c r="D11" i="1"/>
  <c r="D10" i="1"/>
  <c r="D8" i="1"/>
  <c r="D6" i="1"/>
</calcChain>
</file>

<file path=xl/sharedStrings.xml><?xml version="1.0" encoding="utf-8"?>
<sst xmlns="http://schemas.openxmlformats.org/spreadsheetml/2006/main" count="59" uniqueCount="57">
  <si>
    <t>Percentage weight of the category
(report or presentation)</t>
  </si>
  <si>
    <t>Column1</t>
  </si>
  <si>
    <t>Column2</t>
  </si>
  <si>
    <t>Percentage within the category (report or presentation)</t>
  </si>
  <si>
    <t>Weight</t>
  </si>
  <si>
    <t>Grade</t>
  </si>
  <si>
    <t>Condition</t>
  </si>
  <si>
    <t>Pass/Fail</t>
  </si>
  <si>
    <t>Report</t>
  </si>
  <si>
    <t>Presentation</t>
  </si>
  <si>
    <t>The presentation does not use visual or verbal elements to engage the emotions of the target audience.
The presentation comes across as boring or indifferent.</t>
  </si>
  <si>
    <t>The presentation uses some visual or verbal elements, or personal stories to engage and convince the target audience, but they are not very strong or well placed.
The presentation comes across as somewhat interesting, but cannot yet fully engage the target group.</t>
  </si>
  <si>
    <t>Strong visual or verbal elements, or personal stories are used in the presentation to engage and convince the target audience.
The presentation comes across as fascinating and inspiring.</t>
  </si>
  <si>
    <t>Total</t>
  </si>
  <si>
    <t>Project proposal</t>
  </si>
  <si>
    <t>Before the end of week 1, you submit a brief proposal outlining a plan for implementation and evaluation of maximally one (substantive) page. This project proposal needs to be approved by the teacher in order to continue.</t>
  </si>
  <si>
    <t>Evaluation</t>
  </si>
  <si>
    <t>Conclusion</t>
  </si>
  <si>
    <t>Further improvements</t>
  </si>
  <si>
    <t>Introduction</t>
  </si>
  <si>
    <t>Description of algorithms</t>
  </si>
  <si>
    <t>Results</t>
  </si>
  <si>
    <t>Persuasiveness and pathos</t>
  </si>
  <si>
    <t>The performance of the algorithm has not been analysed and the results are not presented.
The performance of the algorithm after adjustments has not been analysed and the results are not presented.</t>
  </si>
  <si>
    <t>The performance of the algorithm is described, but not all aspects are discussed.
The performance of the algorithm after adjustments is described, but not all aspects are discussed and the results are not compared to the original algorithm.</t>
  </si>
  <si>
    <t>The performance of the algorithm is described clearly and all aspects are discussed.
The performance of the algorithm after adjustments is described exhaustively and all aspects are discussed clearly. The results are compared to the original algorithm and it is explained what this means in terms of context.</t>
  </si>
  <si>
    <t xml:space="preserve">No or vague and/or incoherent conclusion is given.
The conclusion is not clearly geared to the project description.
The presentation has no clear closure.
</t>
  </si>
  <si>
    <t>Introduction and description of implementation</t>
  </si>
  <si>
    <t>Conclusion and closure</t>
  </si>
  <si>
    <t>The presentation starts by welcoming the audience, the presentation is introduced, but there is no clear introduction to the project.
The algorithm is described, but not exhaustive.
The adjustments are described, but it could be further clarified
The implementations are described, but only the basics. It could have been made clearer that the implementation does not compromise the security.</t>
  </si>
  <si>
    <t>Bonus</t>
  </si>
  <si>
    <t>Final grade</t>
  </si>
  <si>
    <t>Improvements have been presented, but they are not influencing the efficiency of the algorithm.
Further improvements are suggested, but they are not implemented.
Further improvements are implemented, but there has not been given a clear explanation on how this does not compromise security.</t>
  </si>
  <si>
    <t>No further improvements have been presented or they are presented in a way that is not understandable
The further improvements that are presented clearly do not improve the algorithm.
The further improvements that are presented cannot be implemented.
The further improvements clearly compromise security.</t>
  </si>
  <si>
    <t>The further improvements that are presented are understandable and clearly improve the efficiency of the algorithm.
The improvements are implemented.
An explanation is provided on why the improvements do not compromise security</t>
  </si>
  <si>
    <t>The presentation starts with a clear signal that the presentation starts. The presentation outline is introduced and the project as well.
The algorithm and the adjustments are clearly described and are complete.
There is a context-rich description of the implementation that is clearly and unambiguously described and fits well with the assignment.</t>
  </si>
  <si>
    <t xml:space="preserve">An explanation of the assignment is not given.
</t>
  </si>
  <si>
    <t xml:space="preserve">The assignment is introduced, but no clear explanation is given on what the group thinks the question and expectations are
</t>
  </si>
  <si>
    <t xml:space="preserve">The introduction in the report is clear, the assignment is described and the group clearly explained what they think the question and expectations are.
</t>
  </si>
  <si>
    <t>The algorithm is described, but not exhaustive.
The adjustments are described, but it could be further clarified.
The implementations are described, but only the basics. It could have been made clearer that the implementation does not compromise the security.</t>
  </si>
  <si>
    <t>The algorithm and the adjustments are not described.
The algorithm and the adjustments are incorrectly described.
The implementation is not described.</t>
  </si>
  <si>
    <t xml:space="preserve">The presentation has no clear introduction.
The algorithm and the adjustments are not defined or are defined very unclearly/incorrectly.
The implementation is not described.
</t>
  </si>
  <si>
    <t>The algorithm and the adjustments are clearly described and are complete/correct.
There is a context-rich description of the implementation that is clearly and unambiguously described and fits well with the assignment.</t>
  </si>
  <si>
    <t>The performance of the algorithm has not been analysed and the results are not described.
The performance of the algorithm after adjustments has not been analysed and the results are not presented.
The performance of the algorithm before and after adjustments has been analysed incorrectly</t>
  </si>
  <si>
    <t>The performance of the algorithm is described clearly and all aspects are discussed. The analysis is clear and complete.
The performance of the algorithm after adjustments is described exhaustively and all aspects are discussed clearly. The results are compared to the original algorithm and it is explained what this means in terms of context.</t>
  </si>
  <si>
    <t>No or vague and/or incoherent conclusion is given.
The conclusion is not clearly geared to the project description.</t>
  </si>
  <si>
    <t>The presentation has a clear conclusion with a clear, concise summary of the findings.
The conclusion fits the project description.
The presentation ends with a clear signal that the presentation has been completed.</t>
  </si>
  <si>
    <t>The presentation has a conclusion, in which a summary of the main findings is given, but the group did miss some insights that could have been drawn from the results.
The conclusion fits the project description mainly.
The presentation ends without appearing chaotic, but there is no clear signal that the presentation is finished.</t>
  </si>
  <si>
    <t xml:space="preserve">The report has a conclusion, in which a summary of the main findings is given, but the group did miss some insights that could have been drawn from the results.
The conclusion fits the project description mainly. A clear analysis on what the results mean in context is given.
</t>
  </si>
  <si>
    <t xml:space="preserve">The report has a clear conclusion with a clear, concise summary of the findings.
The conclusion fits the project description and the conclusion is put into context: what does this mean in the real world?
</t>
  </si>
  <si>
    <t>No further improvements have been described or they are described in a way that is not understandable
The further improvements clearly do not improve the algorithm.
The further improvements cannot be implemented.
The further improvements clearly compromise security.</t>
  </si>
  <si>
    <t>Improvements have been described, but they are not influencing the efficiency of the algorithm.
Further improvements are suggested, but they are not implemented.
Further improvements are implemented, but there has not been given a clear explanation on how this does not compromise security.</t>
  </si>
  <si>
    <t>The further improvements that are described are understandable and clearly improve the efficiency of the algorithm.
The improvements are implemented.
An explanation is provided on why the improvements do not compromise security</t>
  </si>
  <si>
    <t>Score
(1, 4, 6, 8, 10)</t>
  </si>
  <si>
    <t>ZO</t>
  </si>
  <si>
    <t>V</t>
  </si>
  <si>
    <t>ZG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</si>
</sst>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color theme="1"/>
      <name val="Arial"/>
      <family val="2"/>
    </font>
    <font>
      <sz val="10"/>
      <color theme="1"/>
      <name val="Arial"/>
      <family val="2"/>
    </font>
    <font>
      <sz val="10"/>
      <color theme="1"/>
      <name val="Arial"/>
      <family val="2"/>
    </font>
    <font>
      <sz val="11"/>
      <color theme="1"/>
      <name val="Arial"/>
      <family val="2"/>
    </font>
    <font>
      <sz val="10"/>
      <name val="Arial"/>
      <family val="2"/>
    </font>
    <font>
      <sz val="10"/>
      <color theme="5"/>
      <name val="Arial"/>
      <family val="2"/>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Alignment="1">
      <alignment vertical="top"/>
    </xf>
    <xf numFmtId="0" fontId="0" fillId="0" borderId="0" xfId="0" applyAlignment="1">
      <alignment vertical="top" wrapText="1"/>
    </xf>
    <xf numFmtId="9" fontId="0" fillId="0" borderId="0" xfId="1" applyFont="1" applyAlignment="1">
      <alignment vertical="top"/>
    </xf>
    <xf numFmtId="9" fontId="0" fillId="0" borderId="0" xfId="1" applyFont="1" applyAlignment="1">
      <alignment vertical="top" wrapText="1"/>
    </xf>
    <xf numFmtId="0" fontId="0" fillId="0" borderId="0" xfId="0" quotePrefix="1" applyAlignment="1">
      <alignment vertical="top"/>
    </xf>
    <xf numFmtId="164" fontId="0" fillId="0" borderId="0" xfId="0" applyNumberFormat="1" applyAlignment="1">
      <alignment vertical="top"/>
    </xf>
    <xf numFmtId="9" fontId="2" fillId="0" borderId="0" xfId="1" applyFont="1" applyAlignment="1">
      <alignment vertical="top"/>
    </xf>
    <xf numFmtId="9" fontId="2" fillId="0" borderId="0" xfId="1" applyFont="1" applyAlignment="1">
      <alignment vertical="top" wrapText="1"/>
    </xf>
    <xf numFmtId="0" fontId="0" fillId="0" borderId="0" xfId="0" quotePrefix="1" applyAlignment="1">
      <alignment vertical="top" wrapText="1"/>
    </xf>
    <xf numFmtId="0" fontId="0" fillId="2" borderId="0" xfId="0" applyFill="1" applyAlignment="1">
      <alignment vertical="top" wrapText="1"/>
    </xf>
    <xf numFmtId="0" fontId="0" fillId="2" borderId="0" xfId="0" applyFill="1" applyAlignment="1">
      <alignment vertical="top"/>
    </xf>
    <xf numFmtId="0" fontId="3" fillId="0" borderId="0" xfId="0" applyFont="1" applyAlignment="1">
      <alignment vertical="center" wrapText="1"/>
    </xf>
    <xf numFmtId="0" fontId="4" fillId="0" borderId="0" xfId="0" applyFont="1" applyAlignment="1">
      <alignment vertical="top"/>
    </xf>
    <xf numFmtId="0" fontId="4"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5" fillId="0" borderId="0" xfId="0" applyFont="1" applyAlignment="1">
      <alignment vertical="top"/>
    </xf>
    <xf numFmtId="9" fontId="5" fillId="0" borderId="0" xfId="1" applyFont="1" applyAlignment="1">
      <alignment vertical="top"/>
    </xf>
    <xf numFmtId="0" fontId="5" fillId="0" borderId="0" xfId="0" applyFont="1" applyAlignment="1">
      <alignment vertical="top" wrapText="1"/>
    </xf>
    <xf numFmtId="164" fontId="5" fillId="0" borderId="0" xfId="0" applyNumberFormat="1" applyFont="1" applyAlignment="1">
      <alignment vertical="top"/>
    </xf>
    <xf numFmtId="9" fontId="5" fillId="0" borderId="0" xfId="1" applyFont="1" applyAlignment="1">
      <alignment vertical="top" wrapText="1"/>
    </xf>
  </cellXfs>
  <cellStyles count="2">
    <cellStyle name="Normal" xfId="0" builtinId="0"/>
    <cellStyle name="Per cent" xfId="1" builtinId="5"/>
  </cellStyles>
  <dxfs count="12">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3:J18" totalsRowShown="0" headerRowDxfId="11" dataDxfId="10">
  <autoFilter ref="A3:J18" xr:uid="{00000000-0009-0000-0100-000001000000}"/>
  <tableColumns count="10">
    <tableColumn id="1" xr3:uid="{00000000-0010-0000-0000-000001000000}" name="Percentage weight of the category_x000a_(report or presentation)" dataDxfId="9"/>
    <tableColumn id="2" xr3:uid="{00000000-0010-0000-0000-000002000000}" name="Column1" dataDxfId="8"/>
    <tableColumn id="3" xr3:uid="{00000000-0010-0000-0000-000003000000}" name="Column2" dataDxfId="7"/>
    <tableColumn id="4" xr3:uid="{00000000-0010-0000-0000-000004000000}" name="Percentage within the category (report or presentation)" dataDxfId="6"/>
    <tableColumn id="5" xr3:uid="{00000000-0010-0000-0000-000005000000}" name="Weight" dataDxfId="5"/>
    <tableColumn id="6" xr3:uid="{00000000-0010-0000-0000-000006000000}" name="ZO" dataDxfId="4"/>
    <tableColumn id="7" xr3:uid="{00000000-0010-0000-0000-000007000000}" name="V" dataDxfId="3"/>
    <tableColumn id="8" xr3:uid="{00000000-0010-0000-0000-000008000000}" name="ZG" dataDxfId="2"/>
    <tableColumn id="9" xr3:uid="{00000000-0010-0000-0000-000009000000}" name="Score_x000a_(1, 4, 6, 8, 10)" dataDxfId="1"/>
    <tableColumn id="10" xr3:uid="{00000000-0010-0000-0000-00000A000000}" name="Gra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35"/>
  <sheetViews>
    <sheetView tabSelected="1" topLeftCell="A6" zoomScale="66" zoomScaleNormal="66" workbookViewId="0">
      <selection activeCell="C12" sqref="C12"/>
    </sheetView>
  </sheetViews>
  <sheetFormatPr defaultColWidth="9.1796875" defaultRowHeight="12.5" x14ac:dyDescent="0.25"/>
  <cols>
    <col min="1" max="1" width="32.1796875" style="1" customWidth="1"/>
    <col min="2" max="2" width="17.81640625" style="1" bestFit="1" customWidth="1"/>
    <col min="3" max="3" width="30" style="1" bestFit="1" customWidth="1"/>
    <col min="4" max="4" width="52.81640625" style="1" hidden="1" customWidth="1"/>
    <col min="5" max="5" width="11.54296875" style="1" bestFit="1" customWidth="1"/>
    <col min="6" max="7" width="54.1796875" style="1" customWidth="1"/>
    <col min="8" max="8" width="66.453125" style="1" bestFit="1" customWidth="1"/>
    <col min="9" max="10" width="20.1796875" style="1" bestFit="1" customWidth="1"/>
    <col min="11" max="16384" width="9.1796875" style="1"/>
  </cols>
  <sheetData>
    <row r="3" spans="1:10" ht="25" x14ac:dyDescent="0.25">
      <c r="A3" s="2" t="s">
        <v>0</v>
      </c>
      <c r="B3" s="1" t="s">
        <v>1</v>
      </c>
      <c r="C3" s="1" t="s">
        <v>2</v>
      </c>
      <c r="D3" s="2" t="s">
        <v>3</v>
      </c>
      <c r="E3" s="1" t="s">
        <v>4</v>
      </c>
      <c r="F3" s="1" t="s">
        <v>54</v>
      </c>
      <c r="G3" s="1" t="s">
        <v>55</v>
      </c>
      <c r="H3" s="1" t="s">
        <v>56</v>
      </c>
      <c r="I3" s="2" t="s">
        <v>53</v>
      </c>
      <c r="J3" s="1" t="s">
        <v>5</v>
      </c>
    </row>
    <row r="4" spans="1:10" x14ac:dyDescent="0.25">
      <c r="F4" s="5">
        <v>1</v>
      </c>
      <c r="G4" s="5">
        <v>6</v>
      </c>
      <c r="H4" s="1">
        <v>10</v>
      </c>
    </row>
    <row r="5" spans="1:10" ht="42" x14ac:dyDescent="0.25">
      <c r="A5" s="7"/>
      <c r="B5" s="1" t="s">
        <v>14</v>
      </c>
      <c r="C5" s="2"/>
      <c r="D5" s="8"/>
      <c r="E5" s="10" t="s">
        <v>6</v>
      </c>
      <c r="F5" s="9"/>
      <c r="G5" s="9"/>
      <c r="H5" s="12" t="s">
        <v>15</v>
      </c>
      <c r="I5" s="11" t="s">
        <v>7</v>
      </c>
    </row>
    <row r="6" spans="1:10" ht="100" x14ac:dyDescent="0.25">
      <c r="A6" s="3">
        <v>0.25</v>
      </c>
      <c r="B6" s="1" t="s">
        <v>9</v>
      </c>
      <c r="C6" s="1" t="s">
        <v>27</v>
      </c>
      <c r="D6" s="3">
        <f>E6/SUM($E$6:$E$10)</f>
        <v>0.32</v>
      </c>
      <c r="E6" s="13">
        <v>8</v>
      </c>
      <c r="F6" s="14" t="s">
        <v>41</v>
      </c>
      <c r="G6" s="14" t="s">
        <v>29</v>
      </c>
      <c r="H6" s="14" t="s">
        <v>35</v>
      </c>
      <c r="I6" s="1">
        <v>8</v>
      </c>
      <c r="J6" s="6">
        <f>SUMPRODUCT($E$6:$E$9,$I$6:$I$9)/(SUM($E$6:$E$9))</f>
        <v>8</v>
      </c>
    </row>
    <row r="7" spans="1:10" ht="62.5" x14ac:dyDescent="0.25">
      <c r="A7" s="3"/>
      <c r="C7" s="2" t="s">
        <v>16</v>
      </c>
      <c r="D7" s="3">
        <f>E7/SUM($E$6:$E$10)</f>
        <v>0.32</v>
      </c>
      <c r="E7" s="13">
        <v>8</v>
      </c>
      <c r="F7" s="14" t="s">
        <v>23</v>
      </c>
      <c r="G7" s="14" t="s">
        <v>24</v>
      </c>
      <c r="H7" s="14" t="s">
        <v>25</v>
      </c>
      <c r="I7" s="1">
        <v>8</v>
      </c>
      <c r="J7" s="6"/>
    </row>
    <row r="8" spans="1:10" ht="75" x14ac:dyDescent="0.25">
      <c r="A8" s="3"/>
      <c r="C8" s="1" t="s">
        <v>28</v>
      </c>
      <c r="D8" s="3">
        <f>E8/SUM($E$6:$E$10)</f>
        <v>0.2</v>
      </c>
      <c r="E8" s="13">
        <v>5</v>
      </c>
      <c r="F8" s="2" t="s">
        <v>26</v>
      </c>
      <c r="G8" s="2" t="s">
        <v>47</v>
      </c>
      <c r="H8" s="2" t="s">
        <v>46</v>
      </c>
      <c r="I8" s="1">
        <v>8</v>
      </c>
      <c r="J8" s="6"/>
    </row>
    <row r="9" spans="1:10" ht="62.5" x14ac:dyDescent="0.25">
      <c r="A9" s="3"/>
      <c r="C9" s="2" t="s">
        <v>22</v>
      </c>
      <c r="D9" s="4">
        <f>E9/SUM($E$12:$E$15)</f>
        <v>6.1538461538461542E-2</v>
      </c>
      <c r="E9" s="14">
        <v>4</v>
      </c>
      <c r="F9" s="2" t="s">
        <v>10</v>
      </c>
      <c r="G9" s="2" t="s">
        <v>11</v>
      </c>
      <c r="H9" s="2" t="s">
        <v>12</v>
      </c>
      <c r="I9" s="1">
        <v>8</v>
      </c>
      <c r="J9" s="6"/>
    </row>
    <row r="10" spans="1:10" ht="87.5" x14ac:dyDescent="0.25">
      <c r="A10" s="3"/>
      <c r="C10" s="17" t="s">
        <v>18</v>
      </c>
      <c r="D10" s="18">
        <f>E10/SUM($E$6:$E$10)</f>
        <v>0</v>
      </c>
      <c r="E10" s="17"/>
      <c r="F10" s="19" t="s">
        <v>33</v>
      </c>
      <c r="G10" s="19" t="s">
        <v>32</v>
      </c>
      <c r="H10" s="19" t="s">
        <v>34</v>
      </c>
      <c r="I10" s="17">
        <v>8</v>
      </c>
      <c r="J10" s="20"/>
    </row>
    <row r="11" spans="1:10" ht="37.5" x14ac:dyDescent="0.25">
      <c r="A11" s="3">
        <v>0.75</v>
      </c>
      <c r="B11" s="1" t="s">
        <v>8</v>
      </c>
      <c r="C11" s="2" t="s">
        <v>19</v>
      </c>
      <c r="D11" s="4">
        <f>E11/SUM($E$11:$E$14)</f>
        <v>0.13333333333333333</v>
      </c>
      <c r="E11" s="14">
        <v>10</v>
      </c>
      <c r="F11" s="14" t="s">
        <v>36</v>
      </c>
      <c r="G11" s="14" t="s">
        <v>37</v>
      </c>
      <c r="H11" s="14" t="s">
        <v>38</v>
      </c>
      <c r="J11" s="6">
        <f>SUMPRODUCT($E$11:$E$14,$I$11:$I$14)/(SUM($E$11:$E$14))</f>
        <v>0</v>
      </c>
    </row>
    <row r="12" spans="1:10" ht="62.5" x14ac:dyDescent="0.25">
      <c r="A12" s="3"/>
      <c r="C12" s="1" t="s">
        <v>20</v>
      </c>
      <c r="D12" s="4">
        <f>E12/SUM($E$11:$E$14)</f>
        <v>0.33333333333333331</v>
      </c>
      <c r="E12" s="13">
        <v>25</v>
      </c>
      <c r="F12" s="14" t="s">
        <v>40</v>
      </c>
      <c r="G12" s="14" t="s">
        <v>39</v>
      </c>
      <c r="H12" s="14" t="s">
        <v>42</v>
      </c>
    </row>
    <row r="13" spans="1:10" ht="75" x14ac:dyDescent="0.25">
      <c r="A13" s="3"/>
      <c r="C13" s="2" t="s">
        <v>21</v>
      </c>
      <c r="D13" s="4">
        <f>E13/SUM($E$11:$E$14)</f>
        <v>0.33333333333333331</v>
      </c>
      <c r="E13" s="14">
        <v>25</v>
      </c>
      <c r="F13" s="14" t="s">
        <v>43</v>
      </c>
      <c r="G13" s="14" t="s">
        <v>24</v>
      </c>
      <c r="H13" s="14" t="s">
        <v>44</v>
      </c>
    </row>
    <row r="14" spans="1:10" ht="75" x14ac:dyDescent="0.25">
      <c r="A14" s="3"/>
      <c r="C14" s="2" t="s">
        <v>17</v>
      </c>
      <c r="D14" s="4">
        <f>E14/SUM($E$11:$E$14)</f>
        <v>0.2</v>
      </c>
      <c r="E14" s="14">
        <v>15</v>
      </c>
      <c r="F14" s="2" t="s">
        <v>45</v>
      </c>
      <c r="G14" s="2" t="s">
        <v>48</v>
      </c>
      <c r="H14" s="2" t="s">
        <v>49</v>
      </c>
    </row>
    <row r="15" spans="1:10" ht="87.5" x14ac:dyDescent="0.25">
      <c r="A15" s="3"/>
      <c r="C15" s="19" t="s">
        <v>18</v>
      </c>
      <c r="D15" s="21"/>
      <c r="E15" s="19"/>
      <c r="F15" s="19" t="s">
        <v>50</v>
      </c>
      <c r="G15" s="19" t="s">
        <v>51</v>
      </c>
      <c r="H15" s="19" t="s">
        <v>52</v>
      </c>
      <c r="I15" s="17"/>
      <c r="J15" s="17"/>
    </row>
    <row r="16" spans="1:10" x14ac:dyDescent="0.25">
      <c r="B16" s="1" t="s">
        <v>13</v>
      </c>
      <c r="C16" s="2"/>
      <c r="D16" s="2"/>
      <c r="E16" s="2"/>
      <c r="F16" s="2"/>
      <c r="G16" s="2"/>
      <c r="H16" s="2"/>
      <c r="J16" s="1">
        <f>ROUND(A6/100*J6+A11/100*J11,1)</f>
        <v>0</v>
      </c>
    </row>
    <row r="17" spans="1:10" x14ac:dyDescent="0.25">
      <c r="A17" s="15"/>
      <c r="B17" s="17" t="s">
        <v>30</v>
      </c>
      <c r="C17" s="19"/>
      <c r="D17" s="19"/>
      <c r="E17" s="19"/>
      <c r="F17" s="19"/>
      <c r="G17" s="19"/>
      <c r="H17" s="19"/>
      <c r="I17" s="17"/>
      <c r="J17" s="17">
        <f>(I10+3*I15)/40</f>
        <v>0.2</v>
      </c>
    </row>
    <row r="18" spans="1:10" x14ac:dyDescent="0.25">
      <c r="A18" s="15"/>
      <c r="B18" s="1" t="s">
        <v>31</v>
      </c>
      <c r="C18" s="2"/>
      <c r="D18" s="16"/>
      <c r="E18" s="2"/>
      <c r="F18" s="2"/>
      <c r="G18" s="2"/>
      <c r="H18" s="2"/>
      <c r="J18" s="1">
        <f>MIN(J16+J17, 10)</f>
        <v>0.2</v>
      </c>
    </row>
    <row r="19" spans="1:10" x14ac:dyDescent="0.25">
      <c r="C19" s="2"/>
      <c r="D19" s="2"/>
      <c r="E19" s="2"/>
      <c r="F19" s="2"/>
      <c r="G19" s="2"/>
      <c r="H19" s="2"/>
    </row>
    <row r="20" spans="1:10" x14ac:dyDescent="0.25">
      <c r="C20" s="2"/>
      <c r="D20" s="2"/>
      <c r="E20" s="2"/>
      <c r="F20" s="2"/>
      <c r="G20" s="2"/>
      <c r="H20" s="2"/>
    </row>
    <row r="21" spans="1:10" x14ac:dyDescent="0.25">
      <c r="C21" s="2"/>
      <c r="D21" s="2"/>
      <c r="E21" s="2"/>
      <c r="F21" s="2"/>
      <c r="G21" s="2"/>
      <c r="H21" s="2"/>
    </row>
    <row r="22" spans="1:10" x14ac:dyDescent="0.25">
      <c r="C22" s="2"/>
      <c r="D22" s="2"/>
      <c r="E22" s="2"/>
      <c r="F22" s="2"/>
      <c r="G22" s="2"/>
      <c r="H22" s="2"/>
    </row>
    <row r="23" spans="1:10" x14ac:dyDescent="0.25">
      <c r="C23" s="2"/>
      <c r="D23" s="2"/>
      <c r="E23" s="2"/>
      <c r="F23" s="2"/>
      <c r="G23" s="2"/>
      <c r="H23" s="2"/>
    </row>
    <row r="24" spans="1:10" x14ac:dyDescent="0.25">
      <c r="C24" s="2"/>
      <c r="D24" s="2"/>
      <c r="E24" s="2"/>
      <c r="F24" s="2"/>
      <c r="G24" s="2"/>
      <c r="H24" s="2"/>
    </row>
    <row r="25" spans="1:10" x14ac:dyDescent="0.25">
      <c r="C25" s="2"/>
      <c r="D25" s="2"/>
      <c r="E25" s="2"/>
      <c r="F25" s="2"/>
      <c r="G25" s="2"/>
      <c r="H25" s="2"/>
    </row>
    <row r="26" spans="1:10" x14ac:dyDescent="0.25">
      <c r="C26" s="2"/>
      <c r="D26" s="2"/>
      <c r="E26" s="2"/>
      <c r="F26" s="2"/>
      <c r="G26" s="2"/>
      <c r="H26" s="2"/>
    </row>
    <row r="27" spans="1:10" x14ac:dyDescent="0.25">
      <c r="C27" s="2"/>
      <c r="D27" s="2"/>
      <c r="E27" s="2"/>
      <c r="F27" s="2"/>
      <c r="G27" s="2"/>
      <c r="H27" s="2"/>
    </row>
    <row r="28" spans="1:10" x14ac:dyDescent="0.25">
      <c r="C28" s="2"/>
      <c r="D28" s="2"/>
      <c r="E28" s="2"/>
      <c r="F28" s="2"/>
      <c r="G28" s="2"/>
      <c r="H28" s="2"/>
    </row>
    <row r="29" spans="1:10" x14ac:dyDescent="0.25">
      <c r="C29" s="2"/>
      <c r="D29" s="2"/>
      <c r="E29" s="2"/>
      <c r="F29" s="2"/>
      <c r="G29" s="2"/>
      <c r="H29" s="2"/>
    </row>
    <row r="30" spans="1:10" x14ac:dyDescent="0.25">
      <c r="C30" s="2"/>
      <c r="D30" s="2"/>
      <c r="E30" s="2"/>
      <c r="F30" s="2"/>
      <c r="G30" s="2"/>
      <c r="H30" s="2"/>
    </row>
    <row r="31" spans="1:10" x14ac:dyDescent="0.25">
      <c r="C31" s="2"/>
      <c r="D31" s="2"/>
      <c r="E31" s="2"/>
      <c r="F31" s="2"/>
      <c r="G31" s="2"/>
      <c r="H31" s="2"/>
    </row>
    <row r="32" spans="1:10" x14ac:dyDescent="0.25">
      <c r="C32" s="2"/>
      <c r="D32" s="2"/>
      <c r="E32" s="2"/>
      <c r="F32" s="2"/>
      <c r="G32" s="2"/>
      <c r="H32" s="2"/>
    </row>
    <row r="33" spans="3:8" x14ac:dyDescent="0.25">
      <c r="C33" s="2"/>
      <c r="D33" s="2"/>
      <c r="E33" s="2"/>
      <c r="F33" s="2"/>
      <c r="G33" s="2"/>
      <c r="H33" s="2"/>
    </row>
    <row r="34" spans="3:8" x14ac:dyDescent="0.25">
      <c r="C34" s="2"/>
      <c r="D34" s="2"/>
      <c r="E34" s="2"/>
      <c r="F34" s="2"/>
      <c r="G34" s="2"/>
      <c r="H34" s="2"/>
    </row>
    <row r="35" spans="3:8" x14ac:dyDescent="0.25">
      <c r="C35" s="2"/>
      <c r="D35" s="2"/>
      <c r="E35" s="2"/>
      <c r="F35" s="2"/>
      <c r="G35" s="2"/>
      <c r="H35" s="2"/>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7:G8"/>
  <sheetViews>
    <sheetView topLeftCell="C1" workbookViewId="0">
      <selection activeCell="F9" sqref="F9"/>
    </sheetView>
  </sheetViews>
  <sheetFormatPr defaultRowHeight="12.5" x14ac:dyDescent="0.25"/>
  <sheetData>
    <row r="7" spans="5:7" x14ac:dyDescent="0.25">
      <c r="E7">
        <v>50</v>
      </c>
      <c r="F7">
        <f>E7/65</f>
        <v>0.76923076923076927</v>
      </c>
      <c r="G7">
        <v>80</v>
      </c>
    </row>
    <row r="8" spans="5:7" x14ac:dyDescent="0.25">
      <c r="E8">
        <v>15</v>
      </c>
      <c r="F8">
        <f>E8/65</f>
        <v>0.23076923076923078</v>
      </c>
      <c r="G8">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340b76a-6b97-40ee-8a15-6a8182f99fe3">
      <Terms xmlns="http://schemas.microsoft.com/office/infopath/2007/PartnerControls"/>
    </lcf76f155ced4ddcb4097134ff3c332f>
    <TaxCatchAll xmlns="bf278708-06f2-44d8-ac01-33770551f34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6FEF03DDD1FB54F9C56BD493A15EAC7" ma:contentTypeVersion="11" ma:contentTypeDescription="Een nieuw document maken." ma:contentTypeScope="" ma:versionID="07940b827d2bffd8cb336195d4c3f7bf">
  <xsd:schema xmlns:xsd="http://www.w3.org/2001/XMLSchema" xmlns:xs="http://www.w3.org/2001/XMLSchema" xmlns:p="http://schemas.microsoft.com/office/2006/metadata/properties" xmlns:ns2="8340b76a-6b97-40ee-8a15-6a8182f99fe3" xmlns:ns3="bf278708-06f2-44d8-ac01-33770551f346" targetNamespace="http://schemas.microsoft.com/office/2006/metadata/properties" ma:root="true" ma:fieldsID="708c01c124ce583f9278a7acc5591026" ns2:_="" ns3:_="">
    <xsd:import namespace="8340b76a-6b97-40ee-8a15-6a8182f99fe3"/>
    <xsd:import namespace="bf278708-06f2-44d8-ac01-33770551f3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40b76a-6b97-40ee-8a15-6a8182f99f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1cf77c6f-7d90-4f59-9429-7beb7326011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278708-06f2-44d8-ac01-33770551f34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06491b1-8b32-41e8-b932-01801a7137b1}" ma:internalName="TaxCatchAll" ma:showField="CatchAllData" ma:web="bf278708-06f2-44d8-ac01-33770551f3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6BAF22-4F7D-46D3-9342-9A167ACA800C}">
  <ds:schemaRefs>
    <ds:schemaRef ds:uri="http://purl.org/dc/elements/1.1/"/>
    <ds:schemaRef ds:uri="http://schemas.microsoft.com/office/2006/documentManagement/types"/>
    <ds:schemaRef ds:uri="c4c90c3b-e0bd-4787-87d0-fc55f607185c"/>
    <ds:schemaRef ds:uri="http://purl.org/dc/terms/"/>
    <ds:schemaRef ds:uri="http://purl.org/dc/dcmitype/"/>
    <ds:schemaRef ds:uri="http://schemas.microsoft.com/office/infopath/2007/PartnerControls"/>
    <ds:schemaRef ds:uri="dbd7ad12-3323-416c-89da-709eb039707f"/>
    <ds:schemaRef ds:uri="http://www.w3.org/XML/1998/namespace"/>
    <ds:schemaRef ds:uri="http://schemas.openxmlformats.org/package/2006/metadata/core-properties"/>
    <ds:schemaRef ds:uri="http://schemas.microsoft.com/office/2006/metadata/properties"/>
    <ds:schemaRef ds:uri="8340b76a-6b97-40ee-8a15-6a8182f99fe3"/>
    <ds:schemaRef ds:uri="bf278708-06f2-44d8-ac01-33770551f346"/>
  </ds:schemaRefs>
</ds:datastoreItem>
</file>

<file path=customXml/itemProps2.xml><?xml version="1.0" encoding="utf-8"?>
<ds:datastoreItem xmlns:ds="http://schemas.openxmlformats.org/officeDocument/2006/customXml" ds:itemID="{041F3386-4509-4364-8FEA-1A6E0479A1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40b76a-6b97-40ee-8a15-6a8182f99fe3"/>
    <ds:schemaRef ds:uri="bf278708-06f2-44d8-ac01-33770551f3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9016A7-EB93-41F0-84B8-D374146804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Fontys Hogescholen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Wulp,Bas S. van der</dc:creator>
  <cp:keywords/>
  <dc:description/>
  <cp:lastModifiedBy>Klijnman,Youp Y.F.</cp:lastModifiedBy>
  <cp:revision/>
  <dcterms:created xsi:type="dcterms:W3CDTF">2023-04-20T13:41:01Z</dcterms:created>
  <dcterms:modified xsi:type="dcterms:W3CDTF">2025-12-10T11:16:40Z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0x01010056FEF03DDD1FB54F9C56BD493A15EAC7</vt:lpwstr>
  </property>
  <property fmtid="{D5CDD505-2E9C-101B-9397-08002B2CF9AE}" pid="3" name="Order">
    <vt:r8>105200</vt:r8>
  </property>
  <property fmtid="{D5CDD505-2E9C-101B-9397-08002B2CF9AE}" pid="4" name="MediaServiceImageTags">
    <vt:lpwstr/>
  </property>
</Properties>
</file>